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Downloads\"/>
    </mc:Choice>
  </mc:AlternateContent>
  <bookViews>
    <workbookView xWindow="0" yWindow="0" windowWidth="20325" windowHeight="6930"/>
  </bookViews>
  <sheets>
    <sheet name="Time_09,30_Top" sheetId="1" r:id="rId1"/>
    <sheet name="Time_10,15_Top" sheetId="2" r:id="rId2"/>
    <sheet name="Time_13,00_Top" sheetId="3" r:id="rId3"/>
    <sheet name="Time_11,45_Top" sheetId="4" r:id="rId4"/>
  </sheets>
  <calcPr calcId="152511"/>
</workbook>
</file>

<file path=xl/calcChain.xml><?xml version="1.0" encoding="utf-8"?>
<calcChain xmlns="http://schemas.openxmlformats.org/spreadsheetml/2006/main">
  <c r="AI2" i="2" l="1"/>
  <c r="AJ2" i="2" s="1"/>
</calcChain>
</file>

<file path=xl/sharedStrings.xml><?xml version="1.0" encoding="utf-8"?>
<sst xmlns="http://schemas.openxmlformats.org/spreadsheetml/2006/main" count="110" uniqueCount="42">
  <si>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</si>
  <si>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</si>
  <si>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</si>
  <si>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</si>
  <si>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</si>
  <si>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</si>
  <si>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</si>
  <si>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</si>
  <si>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</si>
  <si>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</si>
  <si>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</si>
  <si>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</si>
  <si>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</si>
  <si>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</si>
  <si>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</si>
  <si>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</si>
  <si>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</si>
  <si>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</si>
  <si>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</si>
  <si>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</si>
  <si>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</si>
  <si>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</si>
  <si>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</si>
  <si>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</si>
  <si>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File Set</t>
  </si>
  <si>
    <t>6M Sortino Ratio</t>
  </si>
  <si>
    <t>40M Sortino Ratio</t>
  </si>
  <si>
    <t>6M Sortino Ratio_Log</t>
  </si>
  <si>
    <t>40 Max Drawdown_Log</t>
  </si>
  <si>
    <t>40M Sortino Ratio_Log</t>
  </si>
  <si>
    <t>Win %_Log</t>
  </si>
  <si>
    <t>6M Sortino Ratio_Log_Raw</t>
  </si>
  <si>
    <t>40M Sortino Ratio_Log_Raw</t>
  </si>
  <si>
    <t>Final Weighted Score</t>
  </si>
  <si>
    <t>pnl_threshold_4285.63.csv</t>
  </si>
  <si>
    <t>SENSEX_candle_5T_range_[66, 66]_delta_0,3_time_10,15_set_analytics</t>
  </si>
  <si>
    <t>pnl_threshold_5447.79.csv</t>
  </si>
  <si>
    <t>SENSEX_candle_5T_range_[50, 50]_delta_0,5_time_13,00_set_analytics</t>
  </si>
  <si>
    <t>pnl_threshold_4228.37.csv</t>
  </si>
  <si>
    <t>pnl_threshold_6788.11.csv</t>
  </si>
  <si>
    <t>SENSEX_candle_5T_range_[70, 88]_delta_0,4_time_11,45_set_analytics</t>
  </si>
  <si>
    <t>SENSEX_candle_5T_range_[50, 50]_delta_0,4_time_11,45_set_analytics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</si>
</sst>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3" sqref="B3"/>
    </sheetView>
  </sheetViews>
  <sheetFormatPr defaultRowHeight="15" x14ac:dyDescent="0.25"/>
  <cols>
    <col min="1" max="1" width="25.85546875" style="3" bestFit="1" customWidth="1"/>
    <col min="2" max="16384" width="9.140625" style="3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workbookViewId="0">
      <selection activeCell="C6" sqref="C6"/>
    </sheetView>
  </sheetViews>
  <sheetFormatPr defaultRowHeight="15" x14ac:dyDescent="0.25"/>
  <cols>
    <col min="1" max="1" width="25.85546875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6" x14ac:dyDescent="0.25">
      <c r="A2" s="2" t="s">
        <v>34</v>
      </c>
      <c r="B2" s="2">
        <v>102213.41099999999</v>
      </c>
      <c r="C2" s="2">
        <v>4991.766464867881</v>
      </c>
      <c r="D2" s="2">
        <v>27926.333999999999</v>
      </c>
      <c r="E2" s="2">
        <v>6221.2437747146114</v>
      </c>
      <c r="F2" s="2">
        <v>53321.726000000017</v>
      </c>
      <c r="G2" s="2">
        <v>16213.486000000001</v>
      </c>
      <c r="H2" s="2">
        <v>77</v>
      </c>
      <c r="I2" s="2">
        <v>66</v>
      </c>
      <c r="J2" s="2">
        <v>15</v>
      </c>
      <c r="K2" s="2">
        <v>81</v>
      </c>
      <c r="L2" s="2">
        <v>81.481481481481481</v>
      </c>
      <c r="M2" s="2">
        <v>18.518518518518519</v>
      </c>
      <c r="N2" s="2">
        <v>4768.6419999999998</v>
      </c>
      <c r="O2" s="2">
        <v>-16213.486000000001</v>
      </c>
      <c r="P2" s="2">
        <v>2379.83</v>
      </c>
      <c r="Q2" s="2">
        <v>2866.8645000000001</v>
      </c>
      <c r="R2" s="2">
        <v>-3857.529</v>
      </c>
      <c r="S2" s="2">
        <v>4060.4632140791259</v>
      </c>
      <c r="T2" s="2">
        <v>1350.442918033754</v>
      </c>
      <c r="U2" s="2">
        <v>4991.766464867881</v>
      </c>
      <c r="V2" s="2">
        <v>500000</v>
      </c>
      <c r="W2" s="2">
        <v>20.4426822</v>
      </c>
      <c r="X2" s="2">
        <v>18.876835193724471</v>
      </c>
      <c r="Y2" s="2" t="s">
        <v>35</v>
      </c>
      <c r="Z2" s="2">
        <v>2.0777732665833328</v>
      </c>
      <c r="AA2" s="2">
        <v>11.461556024839849</v>
      </c>
      <c r="AB2" s="2">
        <v>0.89055843057061479</v>
      </c>
      <c r="AC2" s="2">
        <v>1</v>
      </c>
      <c r="AD2" s="2">
        <v>0.97059231795176004</v>
      </c>
      <c r="AE2" s="2">
        <v>1</v>
      </c>
      <c r="AF2" s="2">
        <v>0.31759815417199599</v>
      </c>
      <c r="AG2" s="2">
        <v>1.059243581604145</v>
      </c>
      <c r="AH2" s="2">
        <v>3.8611507485223751</v>
      </c>
      <c r="AI2" s="2">
        <f>AE2*0.5</f>
        <v>0.5</v>
      </c>
      <c r="AJ2" s="2">
        <f>AH2-AI2</f>
        <v>3.3611507485223751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workbookViewId="0">
      <selection activeCell="E8" sqref="E8"/>
    </sheetView>
  </sheetViews>
  <sheetFormatPr defaultRowHeight="15" x14ac:dyDescent="0.25"/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s="2" customFormat="1" x14ac:dyDescent="0.25">
      <c r="A2" s="2" t="s">
        <v>36</v>
      </c>
      <c r="B2" s="2">
        <v>108391.773</v>
      </c>
      <c r="C2" s="2">
        <v>2249.6059286725522</v>
      </c>
      <c r="D2" s="2">
        <v>31839.109</v>
      </c>
      <c r="E2" s="2">
        <v>1955.251512998507</v>
      </c>
      <c r="F2" s="2">
        <v>83336.185999999972</v>
      </c>
      <c r="G2" s="2">
        <v>7122.2850000000026</v>
      </c>
      <c r="H2" s="2">
        <v>49</v>
      </c>
      <c r="I2" s="2">
        <v>61</v>
      </c>
      <c r="J2" s="2">
        <v>20</v>
      </c>
      <c r="K2" s="2">
        <v>81</v>
      </c>
      <c r="L2" s="2">
        <v>75.308641975308646</v>
      </c>
      <c r="M2" s="2">
        <v>24.691358024691361</v>
      </c>
      <c r="N2" s="2">
        <v>6075.7089999999998</v>
      </c>
      <c r="O2" s="2">
        <v>-7112.2640000000001</v>
      </c>
      <c r="P2" s="2">
        <v>1807.5519999999999</v>
      </c>
      <c r="Q2" s="2">
        <v>2199.373</v>
      </c>
      <c r="R2" s="2">
        <v>-1360.5605</v>
      </c>
      <c r="S2" s="2">
        <v>2737.5381908654508</v>
      </c>
      <c r="T2" s="2">
        <v>1626.5788289473171</v>
      </c>
      <c r="U2" s="2">
        <v>2249.6059286725522</v>
      </c>
      <c r="V2" s="2">
        <v>500000</v>
      </c>
      <c r="W2" s="2">
        <v>21.678354599999999</v>
      </c>
      <c r="X2" s="2">
        <v>20.175816962963872</v>
      </c>
      <c r="Y2" s="2" t="s">
        <v>37</v>
      </c>
      <c r="Z2" s="2">
        <v>8.612247011729</v>
      </c>
      <c r="AA2" s="2">
        <v>28.179056692567581</v>
      </c>
      <c r="AB2" s="2">
        <v>0.92418232314834592</v>
      </c>
      <c r="AC2" s="2">
        <v>1</v>
      </c>
      <c r="AD2" s="2">
        <v>0.99999999999999978</v>
      </c>
      <c r="AE2" s="2">
        <v>0.47686924607317138</v>
      </c>
      <c r="AF2" s="2">
        <v>0.93511647752539784</v>
      </c>
      <c r="AG2" s="2">
        <v>1.4499264508006779</v>
      </c>
      <c r="AH2" s="2">
        <v>3.4010515692215169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"/>
  <sheetViews>
    <sheetView workbookViewId="0">
      <selection activeCell="E11" sqref="E11"/>
    </sheetView>
  </sheetViews>
  <sheetFormatPr defaultRowHeight="15" x14ac:dyDescent="0.25"/>
  <cols>
    <col min="1" max="1" width="25.8554687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s="2" t="s">
        <v>38</v>
      </c>
      <c r="B2" s="2">
        <v>87635.537999999986</v>
      </c>
      <c r="C2" s="2">
        <v>4641.7547931386343</v>
      </c>
      <c r="D2" s="2">
        <v>34973.665000000001</v>
      </c>
      <c r="E2" s="2">
        <v>2920.422752364253</v>
      </c>
      <c r="F2" s="2">
        <v>52618.081999999988</v>
      </c>
      <c r="G2" s="2">
        <v>18966.721000000009</v>
      </c>
      <c r="H2" s="2">
        <v>84</v>
      </c>
      <c r="I2" s="2">
        <v>62</v>
      </c>
      <c r="J2" s="2">
        <v>19</v>
      </c>
      <c r="K2" s="2">
        <v>81</v>
      </c>
      <c r="L2" s="2">
        <v>76.543209876543202</v>
      </c>
      <c r="M2" s="2">
        <v>23.456790123456791</v>
      </c>
      <c r="N2" s="2">
        <v>6515.3860000000004</v>
      </c>
      <c r="O2" s="2">
        <v>-18966.721000000001</v>
      </c>
      <c r="P2" s="2">
        <v>2069.7629999999999</v>
      </c>
      <c r="Q2" s="2">
        <v>2817.5129999999999</v>
      </c>
      <c r="R2" s="2">
        <v>-2220.6329999999998</v>
      </c>
      <c r="S2" s="2">
        <v>3941.9719369040772</v>
      </c>
      <c r="T2" s="2">
        <v>1505.5097142702789</v>
      </c>
      <c r="U2" s="2">
        <v>4641.7547931386343</v>
      </c>
      <c r="V2" s="2">
        <v>500000</v>
      </c>
      <c r="W2" s="2">
        <v>17.527107600000001</v>
      </c>
      <c r="X2" s="2">
        <v>15.63108937769441</v>
      </c>
      <c r="Y2" s="2" t="s">
        <v>40</v>
      </c>
      <c r="Z2" s="2">
        <v>6.8393060504100482</v>
      </c>
      <c r="AA2" s="2">
        <v>9.185219792959149</v>
      </c>
      <c r="AB2" s="2">
        <v>1</v>
      </c>
      <c r="AC2" s="2">
        <v>0.5569584382894277</v>
      </c>
      <c r="AD2" s="2">
        <v>0.71399787020208361</v>
      </c>
      <c r="AE2" s="2">
        <v>0.72590692660174483</v>
      </c>
      <c r="AF2" s="2">
        <v>0.83501203830391912</v>
      </c>
      <c r="AG2" s="2">
        <v>0.96308955299100962</v>
      </c>
      <c r="AH2" s="2">
        <v>2.9968632350932558</v>
      </c>
    </row>
    <row r="3" spans="1:34" x14ac:dyDescent="0.25">
      <c r="A3" s="2" t="s">
        <v>39</v>
      </c>
      <c r="B3" s="2">
        <v>98990.596999999994</v>
      </c>
      <c r="C3" s="2">
        <v>3506.0204830117941</v>
      </c>
      <c r="D3" s="2">
        <v>15686.286</v>
      </c>
      <c r="E3" s="2">
        <v>1594.6332569107869</v>
      </c>
      <c r="F3" s="2">
        <v>47673.012000000002</v>
      </c>
      <c r="G3" s="2">
        <v>15647.793999999991</v>
      </c>
      <c r="H3" s="2">
        <v>84</v>
      </c>
      <c r="I3" s="2">
        <v>61</v>
      </c>
      <c r="J3" s="2">
        <v>20</v>
      </c>
      <c r="K3" s="2">
        <v>81</v>
      </c>
      <c r="L3" s="2">
        <v>75.308641975308646</v>
      </c>
      <c r="M3" s="2">
        <v>24.691358024691361</v>
      </c>
      <c r="N3" s="2">
        <v>9719.7440000000006</v>
      </c>
      <c r="O3" s="2">
        <v>-15647.794</v>
      </c>
      <c r="P3" s="2">
        <v>1942.1469999999999</v>
      </c>
      <c r="Q3" s="2">
        <v>2400.7669999999998</v>
      </c>
      <c r="R3" s="2">
        <v>-2083.7235000000001</v>
      </c>
      <c r="S3" s="2">
        <v>3517.5540874183889</v>
      </c>
      <c r="T3" s="2">
        <v>1874.788428623239</v>
      </c>
      <c r="U3" s="2">
        <v>3506.0204830117941</v>
      </c>
      <c r="V3" s="2">
        <v>500000</v>
      </c>
      <c r="W3" s="2">
        <v>19.798119400000001</v>
      </c>
      <c r="X3" s="2">
        <v>17.312369807209919</v>
      </c>
      <c r="Y3" s="2" t="s">
        <v>41</v>
      </c>
      <c r="Z3" s="2">
        <v>0.4303723110162101</v>
      </c>
      <c r="AA3" s="2">
        <v>15.3993957712478</v>
      </c>
      <c r="AB3" s="2">
        <v>0.37059257561422548</v>
      </c>
      <c r="AC3" s="2">
        <v>1</v>
      </c>
      <c r="AD3" s="2">
        <v>0.99999999999999989</v>
      </c>
      <c r="AE3" s="2">
        <v>0.58552648968928622</v>
      </c>
      <c r="AF3" s="2">
        <v>-0.36615567776846702</v>
      </c>
      <c r="AG3" s="2">
        <v>1.187503680683152</v>
      </c>
      <c r="AH3" s="2">
        <v>2.9561190653035121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Time_09,30_Top</vt:lpstr>
      <vt:lpstr>Time_10,15_Top</vt:lpstr>
      <vt:lpstr>Time_13,00_Top</vt:lpstr>
      <vt:lpstr>Time_11,45_Top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Algo_1</cp:lastModifiedBy>
  <dcterms:created xsi:type="dcterms:W3CDTF">2025-06-10T10:35:22Z</dcterms:created>
  <dcterms:modified xsi:type="dcterms:W3CDTF">2025-06-12T04:34:07Z</dcterms:modified>
</cp:coreProperties>
</file>