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bookViews>
    <workbookView xWindow="0" yWindow="0" windowWidth="20490" windowHeight="7035" activeTab="3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definedNames>
    <definedName name="_xlnm._FilterDatabase" localSheetId="2" hidden="1">'Time_09,30_Top'!$Y$1:$Y$2</definedName>
  </definedNames>
  <calcPr calcId="152511"/>
</workbook>
</file>

<file path=xl/calcChain.xml><?xml version="1.0" encoding="utf-8"?>
<calcChain xmlns="http://schemas.openxmlformats.org/spreadsheetml/2006/main">
  <c r="AI3" i="2" l="1"/>
  <c r="AI2" i="2"/>
  <c r="AI2" i="3"/>
</calcChain>
</file>

<file path=xl/sharedStrings.xml><?xml version="1.0" encoding="utf-8"?>
<sst xmlns="http://schemas.openxmlformats.org/spreadsheetml/2006/main" count="146" uniqueCount="44">
  <si>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</si>
  <si>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</si>
  <si>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</si>
  <si>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</si>
  <si>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</si>
  <si>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</si>
  <si>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</si>
  <si>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</si>
  <si>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</si>
  <si>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</si>
  <si>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</si>
  <si>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</si>
  <si>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</si>
  <si>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</si>
  <si>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</si>
  <si>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</si>
  <si>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</si>
  <si>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</si>
  <si>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</si>
  <si>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</si>
  <si>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</si>
  <si>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</si>
  <si>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</si>
  <si>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</si>
  <si>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</si>
  <si>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</si>
  <si>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</si>
  <si>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</si>
  <si>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</si>
  <si>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</si>
  <si>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</si>
  <si>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</si>
  <si>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</si>
  <si>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</si>
  <si>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pnl_threshold_2846.84.csv</t>
  </si>
  <si>
    <t>NIFTY_candle_5T_range_[50, 50]_delta_0,3_time_11,45_set_analytics</t>
  </si>
  <si>
    <t>pnl_threshold_3396.91.csv</t>
  </si>
  <si>
    <t>pnl_threshold_2430.59.csv</t>
  </si>
  <si>
    <t>NIFTY_candle_5T_range_[50, 50]_delta_0,35_time_13,00_set_analytics</t>
  </si>
  <si>
    <t>NIFTY_candle_5T_range_[50, 50]_delta_0,3_time_13,00_set_analytics</t>
  </si>
  <si>
    <t>pnl_threshold_8944.74.csv</t>
  </si>
  <si>
    <t>NIFTY_candle_5T_range_[50, 50]_delta_0,4_time_09,30_set_analytics</t>
  </si>
  <si>
    <t>pnl_threshold_5376.32.csv</t>
  </si>
  <si>
    <t>NIFTY_candle_5T_range_[50, 50]_delta_0,35_time_10,15_set_analytics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</si>
</sst>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3" fillId="0" borderId="0" xfId="0" applyFont="1" applyFill="1"/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D6" sqref="D6"/>
    </sheetView>
  </sheetViews>
  <sheetFormatPr defaultRowHeight="15" x14ac:dyDescent="0.25"/>
  <cols>
    <col min="1" max="1" width="25.85546875" bestFit="1" customWidth="1"/>
    <col min="16" max="16" width="12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2" customFormat="1" x14ac:dyDescent="0.25">
      <c r="A2" s="2" t="s">
        <v>34</v>
      </c>
      <c r="B2" s="2">
        <v>204757.41875000001</v>
      </c>
      <c r="C2" s="2">
        <v>3457.457934733683</v>
      </c>
      <c r="D2" s="2">
        <v>43347.225000000013</v>
      </c>
      <c r="E2" s="2">
        <v>1132.9918921943461</v>
      </c>
      <c r="F2" s="2">
        <v>59381.118750000023</v>
      </c>
      <c r="G2" s="2">
        <v>20773.904999999999</v>
      </c>
      <c r="H2" s="2">
        <v>210</v>
      </c>
      <c r="I2" s="2">
        <v>158</v>
      </c>
      <c r="J2" s="2">
        <v>42</v>
      </c>
      <c r="K2" s="2">
        <v>200</v>
      </c>
      <c r="L2" s="2">
        <v>79</v>
      </c>
      <c r="M2" s="2">
        <v>21</v>
      </c>
      <c r="N2" s="2">
        <v>3471.0487499999999</v>
      </c>
      <c r="O2" s="2">
        <v>-14956.98</v>
      </c>
      <c r="P2" s="2">
        <v>1594.19625</v>
      </c>
      <c r="Q2" s="2">
        <v>2070.8868750000001</v>
      </c>
      <c r="R2" s="2">
        <v>-1358.180625</v>
      </c>
      <c r="S2" s="2">
        <v>2516.0750898740298</v>
      </c>
      <c r="T2" s="2">
        <v>906.06008291026831</v>
      </c>
      <c r="U2" s="2">
        <v>3457.457934733683</v>
      </c>
      <c r="V2" s="2">
        <v>450000</v>
      </c>
      <c r="W2" s="2">
        <v>45.501648611111108</v>
      </c>
      <c r="X2" s="2">
        <v>42.756484134353187</v>
      </c>
      <c r="Y2" s="2" t="s">
        <v>35</v>
      </c>
      <c r="Z2" s="2">
        <v>26.343723380220109</v>
      </c>
      <c r="AA2" s="2">
        <v>35.794338235248162</v>
      </c>
      <c r="AB2" s="2">
        <v>0.64347695519689529</v>
      </c>
      <c r="AC2" s="2">
        <v>0.99589784742602028</v>
      </c>
      <c r="AD2" s="2">
        <v>0.93132924829626496</v>
      </c>
      <c r="AE2" s="2">
        <v>0.75080676337793761</v>
      </c>
      <c r="AF2" s="2">
        <v>1.420677157459594</v>
      </c>
      <c r="AG2" s="2">
        <v>1.553814337603503</v>
      </c>
      <c r="AH2" s="2">
        <v>3.3215108142971181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workbookViewId="0">
      <selection activeCell="A9" sqref="A9"/>
    </sheetView>
  </sheetViews>
  <sheetFormatPr defaultRowHeight="15" x14ac:dyDescent="0.25"/>
  <cols>
    <col min="1" max="1" width="25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5" s="2" customFormat="1" x14ac:dyDescent="0.25">
      <c r="A2" s="2" t="s">
        <v>36</v>
      </c>
      <c r="B2" s="2">
        <v>225870.78625</v>
      </c>
      <c r="C2" s="2">
        <v>1940.07570662643</v>
      </c>
      <c r="D2" s="2">
        <v>39211.691250000003</v>
      </c>
      <c r="E2" s="2">
        <v>1250.881900694216</v>
      </c>
      <c r="F2" s="2">
        <v>88133.876250000001</v>
      </c>
      <c r="G2" s="2">
        <v>8359.4550000000163</v>
      </c>
      <c r="H2" s="2">
        <v>49</v>
      </c>
      <c r="I2" s="2">
        <v>162</v>
      </c>
      <c r="J2" s="2">
        <v>38</v>
      </c>
      <c r="K2" s="2">
        <v>200</v>
      </c>
      <c r="L2" s="2">
        <v>81</v>
      </c>
      <c r="M2" s="2">
        <v>19</v>
      </c>
      <c r="N2" s="2">
        <v>4087.9425000000001</v>
      </c>
      <c r="O2" s="2">
        <v>-7287.7912500000002</v>
      </c>
      <c r="P2" s="2">
        <v>1399.78125</v>
      </c>
      <c r="Q2" s="2">
        <v>1654.0162499999999</v>
      </c>
      <c r="R2" s="2">
        <v>-1173.879375</v>
      </c>
      <c r="S2" s="2">
        <v>1885.410136805802</v>
      </c>
      <c r="T2" s="2">
        <v>1069.0541964165741</v>
      </c>
      <c r="U2" s="2">
        <v>1940.07570662643</v>
      </c>
      <c r="V2" s="2">
        <v>450000</v>
      </c>
      <c r="W2" s="2">
        <v>50.193508055555547</v>
      </c>
      <c r="X2" s="2">
        <v>48.386226427902528</v>
      </c>
      <c r="Y2" s="2" t="s">
        <v>38</v>
      </c>
      <c r="Z2" s="2">
        <v>20.554851130015152</v>
      </c>
      <c r="AA2" s="2">
        <v>74.672748983550633</v>
      </c>
      <c r="AB2" s="2">
        <v>0.42762359359911489</v>
      </c>
      <c r="AC2" s="2">
        <v>1</v>
      </c>
      <c r="AD2" s="2">
        <v>1</v>
      </c>
      <c r="AE2" s="2">
        <v>0.97279647608610631</v>
      </c>
      <c r="AF2" s="2">
        <v>1.312914335718798</v>
      </c>
      <c r="AG2" s="2">
        <v>1.873162139628928</v>
      </c>
      <c r="AH2" s="2">
        <v>3.400420069685222</v>
      </c>
      <c r="AI2" s="2">
        <f>AH2-(AE2*0.5)</f>
        <v>2.9140218316421689</v>
      </c>
    </row>
    <row r="3" spans="1:35" x14ac:dyDescent="0.25">
      <c r="A3" s="2" t="s">
        <v>37</v>
      </c>
      <c r="B3" s="2">
        <v>187849.91875000001</v>
      </c>
      <c r="C3" s="2">
        <v>1710.836365412141</v>
      </c>
      <c r="D3" s="2">
        <v>35213.535000000003</v>
      </c>
      <c r="E3" s="2">
        <v>1486.7194078324869</v>
      </c>
      <c r="F3" s="2">
        <v>75413.216249999998</v>
      </c>
      <c r="G3" s="2">
        <v>8722.1137499999895</v>
      </c>
      <c r="H3" s="2">
        <v>56</v>
      </c>
      <c r="I3" s="2">
        <v>160</v>
      </c>
      <c r="J3" s="2">
        <v>40</v>
      </c>
      <c r="K3" s="2">
        <v>200</v>
      </c>
      <c r="L3" s="2">
        <v>80</v>
      </c>
      <c r="M3" s="2">
        <v>20</v>
      </c>
      <c r="N3" s="2">
        <v>3250.4625000000001</v>
      </c>
      <c r="O3" s="2">
        <v>-7287.7912500000002</v>
      </c>
      <c r="P3" s="2">
        <v>1268.925</v>
      </c>
      <c r="Q3" s="2">
        <v>1554.9393749999999</v>
      </c>
      <c r="R3" s="2">
        <v>-1171.99875</v>
      </c>
      <c r="S3" s="2">
        <v>1631.398389679385</v>
      </c>
      <c r="T3" s="2">
        <v>759.80641070767115</v>
      </c>
      <c r="U3" s="2">
        <v>1710.836365412141</v>
      </c>
      <c r="V3" s="2">
        <v>450000</v>
      </c>
      <c r="W3" s="2">
        <v>41.74442638888889</v>
      </c>
      <c r="X3" s="2">
        <v>40.242109703611384</v>
      </c>
      <c r="Y3" s="2" t="s">
        <v>39</v>
      </c>
      <c r="Z3" s="2">
        <v>14.60499868745006</v>
      </c>
      <c r="AA3" s="2">
        <v>62.454785805455927</v>
      </c>
      <c r="AB3" s="2">
        <v>0.39035929278573811</v>
      </c>
      <c r="AC3" s="2">
        <v>0.9755646380361398</v>
      </c>
      <c r="AD3" s="2">
        <v>0.95751464302717759</v>
      </c>
      <c r="AE3" s="2">
        <v>0.91788199741133525</v>
      </c>
      <c r="AF3" s="2">
        <v>1.164501522279564</v>
      </c>
      <c r="AG3" s="2">
        <v>1.795565723242819</v>
      </c>
      <c r="AH3" s="2">
        <v>3.241320571260391</v>
      </c>
      <c r="AI3" s="2">
        <f t="shared" ref="AI3" si="0">AH3-(AE3*0.5)</f>
        <v>2.7823795725547233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workbookViewId="0">
      <selection activeCell="E10" sqref="E10"/>
    </sheetView>
  </sheetViews>
  <sheetFormatPr defaultRowHeight="15" x14ac:dyDescent="0.25"/>
  <cols>
    <col min="1" max="1" width="25.85546875" style="4" bestFit="1" customWidth="1"/>
    <col min="2" max="2" width="17.42578125" style="4" bestFit="1" customWidth="1"/>
    <col min="3" max="3" width="12" style="4" bestFit="1" customWidth="1"/>
    <col min="4" max="4" width="16.28515625" style="4" bestFit="1" customWidth="1"/>
    <col min="5" max="6" width="9.140625" style="4"/>
    <col min="7" max="7" width="17.5703125" style="4" bestFit="1" customWidth="1"/>
    <col min="8" max="8" width="15.42578125" style="4" bestFit="1" customWidth="1"/>
    <col min="9" max="28" width="9.140625" style="4"/>
    <col min="29" max="29" width="21.7109375" style="4" bestFit="1" customWidth="1"/>
    <col min="30" max="16384" width="9.140625" style="4"/>
  </cols>
  <sheetData>
    <row r="1" spans="1:3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5" s="3" customFormat="1" x14ac:dyDescent="0.25">
      <c r="A2" s="3" t="s">
        <v>40</v>
      </c>
      <c r="B2" s="3">
        <v>244570.61749999999</v>
      </c>
      <c r="C2" s="3">
        <v>4262.2570629858783</v>
      </c>
      <c r="D2" s="3">
        <v>67779.614999999976</v>
      </c>
      <c r="E2" s="3">
        <v>3285.2906489848569</v>
      </c>
      <c r="F2" s="3">
        <v>82233.851250000022</v>
      </c>
      <c r="G2" s="3">
        <v>36585.468750000029</v>
      </c>
      <c r="H2" s="3">
        <v>245</v>
      </c>
      <c r="I2" s="3">
        <v>141</v>
      </c>
      <c r="J2" s="3">
        <v>59</v>
      </c>
      <c r="K2" s="3">
        <v>200</v>
      </c>
      <c r="L2" s="3">
        <v>70.5</v>
      </c>
      <c r="M2" s="3">
        <v>29.5</v>
      </c>
      <c r="N2" s="3">
        <v>9090.39</v>
      </c>
      <c r="O2" s="3">
        <v>-19406.53875</v>
      </c>
      <c r="P2" s="3">
        <v>1910.120625</v>
      </c>
      <c r="Q2" s="3">
        <v>2790.5962500000001</v>
      </c>
      <c r="R2" s="3">
        <v>-1928.01</v>
      </c>
      <c r="S2" s="3">
        <v>4329.5086063815297</v>
      </c>
      <c r="T2" s="3">
        <v>2243.8970955862392</v>
      </c>
      <c r="U2" s="3">
        <v>4262.2570629858783</v>
      </c>
      <c r="V2" s="3">
        <v>450000</v>
      </c>
      <c r="W2" s="3">
        <v>54.349026111111122</v>
      </c>
      <c r="X2" s="3">
        <v>48.3944224855153</v>
      </c>
      <c r="Y2" s="3" t="s">
        <v>41</v>
      </c>
      <c r="Z2" s="3">
        <v>16.522013057435931</v>
      </c>
      <c r="AA2" s="3">
        <v>38.376525648927512</v>
      </c>
      <c r="AB2" s="3">
        <v>0.71544797351640022</v>
      </c>
      <c r="AC2" s="3">
        <v>0.86292124272825177</v>
      </c>
      <c r="AD2" s="3">
        <v>0.98152779245401722</v>
      </c>
      <c r="AE2" s="3">
        <v>0.46981009240185401</v>
      </c>
      <c r="AF2" s="3">
        <v>1.218062961051779</v>
      </c>
      <c r="AG2" s="3">
        <v>1.5840656540941029</v>
      </c>
      <c r="AH2" s="3">
        <v>3.0297071011005232</v>
      </c>
      <c r="AI2" s="3">
        <f t="shared" ref="AI2" si="0">AH2-(AE2*0.5)</f>
        <v>2.7948020548995962</v>
      </c>
    </row>
  </sheetData>
  <sortState ref="A2:AI134">
    <sortCondition descending="1" ref="AI2:AI13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G4" activeCellId="1" sqref="D6 G4"/>
    </sheetView>
  </sheetViews>
  <sheetFormatPr defaultRowHeight="15" x14ac:dyDescent="0.25"/>
  <cols>
    <col min="1" max="1" width="25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42</v>
      </c>
      <c r="B2" s="2">
        <v>255829.40875</v>
      </c>
      <c r="C2" s="2">
        <v>2626.351735823956</v>
      </c>
      <c r="D2" s="2">
        <v>49460.216249999998</v>
      </c>
      <c r="E2" s="2">
        <v>3195.147929852058</v>
      </c>
      <c r="F2" s="2">
        <v>71491.961250000008</v>
      </c>
      <c r="G2" s="2">
        <v>15776.77875000003</v>
      </c>
      <c r="H2" s="2">
        <v>160</v>
      </c>
      <c r="I2" s="2">
        <v>152</v>
      </c>
      <c r="J2" s="2">
        <v>48</v>
      </c>
      <c r="K2" s="2">
        <v>200</v>
      </c>
      <c r="L2" s="2">
        <v>76</v>
      </c>
      <c r="M2" s="2">
        <v>24</v>
      </c>
      <c r="N2" s="2">
        <v>5583.4425000000001</v>
      </c>
      <c r="O2" s="2">
        <v>-9924.4274999999998</v>
      </c>
      <c r="P2" s="2">
        <v>1863.38625</v>
      </c>
      <c r="Q2" s="2">
        <v>2424.19875</v>
      </c>
      <c r="R2" s="2">
        <v>-2108.5500000000002</v>
      </c>
      <c r="S2" s="2">
        <v>3094.0448768834572</v>
      </c>
      <c r="T2" s="2">
        <v>1591.134456760987</v>
      </c>
      <c r="U2" s="2">
        <v>2626.351735823956</v>
      </c>
      <c r="V2" s="2">
        <v>450000</v>
      </c>
      <c r="W2" s="2">
        <v>56.85097972222222</v>
      </c>
      <c r="X2" s="2">
        <v>53.726586997656327</v>
      </c>
      <c r="Y2" s="2" t="s">
        <v>43</v>
      </c>
      <c r="Z2" s="2">
        <v>11.254632661613581</v>
      </c>
      <c r="AA2" s="2">
        <v>66.56740084174271</v>
      </c>
      <c r="AB2" s="2">
        <v>0.56166549285527811</v>
      </c>
      <c r="AC2" s="2">
        <v>0.98995358423068325</v>
      </c>
      <c r="AD2" s="2">
        <v>0.94189268257762304</v>
      </c>
      <c r="AE2" s="2">
        <v>0.73077508653133094</v>
      </c>
      <c r="AF2" s="2">
        <v>1.05133132469081</v>
      </c>
      <c r="AG2" s="2">
        <v>1.8232616000322519</v>
      </c>
      <c r="AH2" s="2">
        <v>3.2242868461949148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2025-06-10T10:34:57Z</dcterms:created>
  <dcterms:modified xsi:type="dcterms:W3CDTF">2025-06-11T11:24:34Z</dcterms:modified>
</cp:coreProperties>
</file>